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ise de processos\"/>
    </mc:Choice>
  </mc:AlternateContent>
  <xr:revisionPtr revIDLastSave="0" documentId="8_{F4357F92-8B68-4D1F-94FA-9DF2371CDA4F}" xr6:coauthVersionLast="47" xr6:coauthVersionMax="47" xr10:uidLastSave="{00000000-0000-0000-0000-000000000000}"/>
  <bookViews>
    <workbookView xWindow="-120" yWindow="-120" windowWidth="20730" windowHeight="11160" tabRatio="413" xr2:uid="{9D874675-C6FC-4773-B33C-475F87FC1395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ntd_anos">Planilha1!$D$17</definedName>
    <definedName name="rendimento_carteira">Planilha1!$D$12</definedName>
    <definedName name="salario">Planilha1!$D$11</definedName>
    <definedName name="sugestao_investimento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G2" i="2"/>
  <c r="A17" i="2"/>
  <c r="A18" i="2"/>
  <c r="A19" i="2"/>
  <c r="A20" i="2"/>
  <c r="A21" i="2"/>
  <c r="A16" i="2"/>
  <c r="A10" i="2"/>
  <c r="A11" i="2"/>
  <c r="A12" i="2"/>
  <c r="A13" i="2"/>
  <c r="A14" i="2"/>
  <c r="A9" i="2"/>
  <c r="A7" i="2"/>
  <c r="A3" i="2"/>
  <c r="A4" i="2"/>
  <c r="A5" i="2"/>
  <c r="A6" i="2"/>
  <c r="A2" i="2"/>
  <c r="C31" i="1"/>
  <c r="D35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/>
  <c r="D38" i="1" l="1"/>
  <c r="D34" i="1"/>
  <c r="D37" i="1"/>
  <c r="D36" i="1"/>
  <c r="D39" i="1"/>
  <c r="D40" i="1" l="1"/>
</calcChain>
</file>

<file path=xl/sharedStrings.xml><?xml version="1.0" encoding="utf-8"?>
<sst xmlns="http://schemas.openxmlformats.org/spreadsheetml/2006/main" count="70" uniqueCount="36">
  <si>
    <t>Patrimônio acumulado</t>
  </si>
  <si>
    <t>Quanto investir por mês?</t>
  </si>
  <si>
    <t>Por quantos anos?</t>
  </si>
  <si>
    <t>Taxa de rendimento mensal</t>
  </si>
  <si>
    <t>Dividendos mensais</t>
  </si>
  <si>
    <t>INVESTIMENTO MENSAL</t>
  </si>
  <si>
    <t>2 anos</t>
  </si>
  <si>
    <t>5 anos</t>
  </si>
  <si>
    <t>10 anos</t>
  </si>
  <si>
    <t>20 anos</t>
  </si>
  <si>
    <t>30 anos</t>
  </si>
  <si>
    <t>Cenários</t>
  </si>
  <si>
    <t>Dividendos</t>
  </si>
  <si>
    <t>Configurações</t>
  </si>
  <si>
    <t>Rendimento Carteira</t>
  </si>
  <si>
    <t>Salário</t>
  </si>
  <si>
    <t>Sugestão de Investimento</t>
  </si>
  <si>
    <t>Perfil</t>
  </si>
  <si>
    <t>Agressivo</t>
  </si>
  <si>
    <t>Moderado</t>
  </si>
  <si>
    <t>Conservador</t>
  </si>
  <si>
    <t>Valor investido mensalmente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</si>
  <si>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</si>
  <si>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</si>
  <si>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</si>
  <si>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</si>
  <si>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</si>
  <si>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</si>
  <si>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</si>
  <si>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</si>
  <si>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</si>
  <si>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</si>
  <si>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PERFIL</t>
  </si>
  <si>
    <t>CHAVE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</si>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</sst>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2" tint="-9.9948118533890809E-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64" fontId="6" fillId="0" borderId="4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8" fontId="6" fillId="3" borderId="6" xfId="0" applyNumberFormat="1" applyFont="1" applyFill="1" applyBorder="1" applyAlignment="1">
      <alignment horizontal="center" vertical="center"/>
    </xf>
    <xf numFmtId="8" fontId="6" fillId="3" borderId="8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164" fontId="0" fillId="0" borderId="4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2"/>
    </xf>
    <xf numFmtId="0" fontId="7" fillId="4" borderId="3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8" fontId="0" fillId="4" borderId="10" xfId="0" applyNumberFormat="1" applyFill="1" applyBorder="1" applyAlignment="1">
      <alignment horizontal="left" vertical="center" indent="8"/>
    </xf>
    <xf numFmtId="8" fontId="0" fillId="4" borderId="11" xfId="0" applyNumberFormat="1" applyFill="1" applyBorder="1" applyAlignment="1">
      <alignment horizontal="left" vertical="center" indent="8"/>
    </xf>
    <xf numFmtId="8" fontId="0" fillId="4" borderId="12" xfId="0" applyNumberFormat="1" applyFill="1" applyBorder="1" applyAlignment="1">
      <alignment horizontal="left" vertical="center" indent="8"/>
    </xf>
    <xf numFmtId="0" fontId="7" fillId="3" borderId="16" xfId="0" applyFont="1" applyFill="1" applyBorder="1" applyAlignment="1">
      <alignment horizontal="left" indent="26"/>
    </xf>
    <xf numFmtId="0" fontId="7" fillId="3" borderId="17" xfId="0" applyFont="1" applyFill="1" applyBorder="1" applyAlignment="1">
      <alignment horizontal="left" indent="26"/>
    </xf>
    <xf numFmtId="0" fontId="7" fillId="3" borderId="18" xfId="0" applyFont="1" applyFill="1" applyBorder="1" applyAlignment="1">
      <alignment horizontal="left" indent="26"/>
    </xf>
    <xf numFmtId="0" fontId="7" fillId="3" borderId="19" xfId="0" applyFont="1" applyFill="1" applyBorder="1" applyAlignment="1">
      <alignment horizontal="left" indent="26"/>
    </xf>
    <xf numFmtId="0" fontId="7" fillId="0" borderId="16" xfId="0" applyFont="1" applyBorder="1" applyAlignment="1">
      <alignment horizontal="left" indent="25"/>
    </xf>
    <xf numFmtId="0" fontId="7" fillId="0" borderId="17" xfId="0" applyFont="1" applyBorder="1" applyAlignment="1">
      <alignment horizontal="left" indent="25"/>
    </xf>
    <xf numFmtId="0" fontId="6" fillId="3" borderId="16" xfId="0" applyFont="1" applyFill="1" applyBorder="1" applyAlignment="1">
      <alignment horizontal="left" indent="25"/>
    </xf>
    <xf numFmtId="0" fontId="6" fillId="3" borderId="17" xfId="0" applyFont="1" applyFill="1" applyBorder="1" applyAlignment="1">
      <alignment horizontal="left" indent="25"/>
    </xf>
    <xf numFmtId="0" fontId="6" fillId="3" borderId="18" xfId="0" applyFont="1" applyFill="1" applyBorder="1" applyAlignment="1">
      <alignment horizontal="left" indent="25"/>
    </xf>
    <xf numFmtId="0" fontId="6" fillId="3" borderId="19" xfId="0" applyFont="1" applyFill="1" applyBorder="1" applyAlignment="1">
      <alignment horizontal="left" indent="25"/>
    </xf>
    <xf numFmtId="8" fontId="0" fillId="4" borderId="4" xfId="0" applyNumberFormat="1" applyFill="1" applyBorder="1" applyAlignment="1">
      <alignment horizontal="left" vertical="center" indent="4"/>
    </xf>
    <xf numFmtId="8" fontId="0" fillId="4" borderId="13" xfId="0" applyNumberFormat="1" applyFill="1" applyBorder="1" applyAlignment="1">
      <alignment horizontal="left" vertical="center" indent="4"/>
    </xf>
    <xf numFmtId="9" fontId="0" fillId="0" borderId="0" xfId="2" applyFont="1"/>
    <xf numFmtId="0" fontId="0" fillId="9" borderId="20" xfId="0" applyFill="1" applyBorder="1"/>
    <xf numFmtId="0" fontId="0" fillId="9" borderId="20" xfId="0" applyFill="1" applyBorder="1" applyAlignment="1"/>
    <xf numFmtId="9" fontId="0" fillId="9" borderId="20" xfId="0" applyNumberFormat="1" applyFill="1" applyBorder="1"/>
    <xf numFmtId="9" fontId="0" fillId="9" borderId="20" xfId="2" applyNumberFormat="1" applyFont="1" applyFill="1" applyBorder="1"/>
    <xf numFmtId="0" fontId="8" fillId="10" borderId="20" xfId="0" applyFont="1" applyFill="1" applyBorder="1"/>
    <xf numFmtId="0" fontId="8" fillId="10" borderId="20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0" fillId="8" borderId="18" xfId="0" applyFill="1" applyBorder="1"/>
    <xf numFmtId="0" fontId="0" fillId="8" borderId="21" xfId="0" applyFill="1" applyBorder="1"/>
    <xf numFmtId="164" fontId="6" fillId="8" borderId="22" xfId="0" applyNumberFormat="1" applyFont="1" applyFill="1" applyBorder="1"/>
    <xf numFmtId="0" fontId="0" fillId="0" borderId="3" xfId="0" applyBorder="1" applyAlignment="1">
      <alignment horizontal="left" indent="16"/>
    </xf>
    <xf numFmtId="9" fontId="0" fillId="0" borderId="10" xfId="0" applyNumberFormat="1" applyBorder="1"/>
    <xf numFmtId="164" fontId="0" fillId="0" borderId="4" xfId="0" applyNumberFormat="1" applyBorder="1" applyAlignment="1">
      <alignment horizontal="left" indent="5"/>
    </xf>
    <xf numFmtId="0" fontId="0" fillId="0" borderId="5" xfId="0" applyBorder="1" applyAlignment="1">
      <alignment horizontal="left" indent="16"/>
    </xf>
    <xf numFmtId="9" fontId="0" fillId="0" borderId="11" xfId="0" applyNumberFormat="1" applyBorder="1"/>
    <xf numFmtId="164" fontId="0" fillId="0" borderId="6" xfId="0" applyNumberFormat="1" applyBorder="1" applyAlignment="1">
      <alignment horizontal="left" indent="5"/>
    </xf>
    <xf numFmtId="0" fontId="0" fillId="0" borderId="14" xfId="0" applyBorder="1" applyAlignment="1">
      <alignment horizontal="left" indent="16"/>
    </xf>
    <xf numFmtId="9" fontId="0" fillId="0" borderId="23" xfId="0" applyNumberFormat="1" applyBorder="1"/>
    <xf numFmtId="164" fontId="0" fillId="0" borderId="15" xfId="0" applyNumberFormat="1" applyBorder="1" applyAlignment="1">
      <alignment horizontal="left" indent="5"/>
    </xf>
    <xf numFmtId="0" fontId="7" fillId="7" borderId="24" xfId="0" applyFont="1" applyFill="1" applyBorder="1" applyAlignment="1">
      <alignment horizontal="left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27" xfId="0" applyBorder="1"/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D-4A5B-9FCA-291A4A443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481013</xdr:colOff>
      <xdr:row>0</xdr:row>
      <xdr:rowOff>59531</xdr:rowOff>
    </xdr:from>
    <xdr:to>
      <xdr:col>4</xdr:col>
      <xdr:colOff>47625</xdr:colOff>
      <xdr:row>7</xdr:row>
      <xdr:rowOff>135730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216A6-8A1E-4E74-8925-C97D6DEAF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481013" y="59531"/>
          <a:ext cx="7150893" cy="1409699"/>
        </a:xfrm>
        <a:prstGeom prst="rect">
          <a:avLst/>
        </a:prstGeom>
      </xdr:spPr>
    </xdr:pic>
    <xdr:clientData/>
  </xdr:twoCellAnchor>
  <xdr:twoCellAnchor>
    <xdr:from>
      <xdr:col>1</xdr:col>
      <xdr:colOff>95249</xdr:colOff>
      <xdr:row>40</xdr:row>
      <xdr:rowOff>75008</xdr:rowOff>
    </xdr:from>
    <xdr:to>
      <xdr:col>4</xdr:col>
      <xdr:colOff>11906</xdr:colOff>
      <xdr:row>54</xdr:row>
      <xdr:rowOff>178594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DAD732-6D4E-FAE2-CCB6-88950881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CEA6-EC01-4D09-9A85-44C24138B433}">
  <dimension ref="A9:D40"/>
  <sheetViews>
    <sheetView showGridLines="0" tabSelected="1" zoomScale="80" zoomScaleNormal="80" workbookViewId="0">
      <selection activeCell="F30" sqref="F30"/>
    </sheetView>
  </sheetViews>
  <sheetFormatPr defaultRowHeight="15" x14ac:dyDescent="0.25"/>
  <cols>
    <col min="1" max="1" width="8.140625" customWidth="1"/>
    <col min="2" max="2" width="49.42578125" customWidth="1"/>
    <col min="3" max="3" width="34.28515625" customWidth="1"/>
    <col min="4" max="4" width="21.85546875" customWidth="1"/>
    <col min="5" max="5" width="8" customWidth="1"/>
    <col min="6" max="6" width="5" customWidth="1"/>
  </cols>
  <sheetData>
    <row r="9" spans="2:4" ht="15.75" thickBot="1" x14ac:dyDescent="0.3"/>
    <row r="10" spans="2:4" ht="23.25" x14ac:dyDescent="0.25">
      <c r="B10" s="16" t="s">
        <v>13</v>
      </c>
      <c r="C10" s="17"/>
      <c r="D10" s="15"/>
    </row>
    <row r="11" spans="2:4" ht="15.75" x14ac:dyDescent="0.25">
      <c r="B11" s="27" t="s">
        <v>15</v>
      </c>
      <c r="C11" s="28"/>
      <c r="D11" s="11">
        <v>5000</v>
      </c>
    </row>
    <row r="12" spans="2:4" ht="15.75" x14ac:dyDescent="0.25">
      <c r="B12" s="27" t="s">
        <v>14</v>
      </c>
      <c r="C12" s="28"/>
      <c r="D12" s="12">
        <v>8.8999999999999999E-3</v>
      </c>
    </row>
    <row r="13" spans="2:4" ht="16.5" thickBot="1" x14ac:dyDescent="0.3">
      <c r="B13" s="29" t="s">
        <v>16</v>
      </c>
      <c r="C13" s="30"/>
      <c r="D13" s="13">
        <f>D11*30%</f>
        <v>1500</v>
      </c>
    </row>
    <row r="14" spans="2:4" ht="15.75" thickBot="1" x14ac:dyDescent="0.3">
      <c r="B14" s="9"/>
      <c r="C14" s="10"/>
    </row>
    <row r="15" spans="2:4" ht="33.75" customHeight="1" x14ac:dyDescent="0.25">
      <c r="B15" s="7" t="s">
        <v>5</v>
      </c>
      <c r="C15" s="8"/>
      <c r="D15" s="14"/>
    </row>
    <row r="16" spans="2:4" ht="15.75" x14ac:dyDescent="0.25">
      <c r="B16" s="31" t="s">
        <v>1</v>
      </c>
      <c r="C16" s="32"/>
      <c r="D16" s="1">
        <v>300</v>
      </c>
    </row>
    <row r="17" spans="1:4" ht="15.75" x14ac:dyDescent="0.25">
      <c r="B17" s="31" t="s">
        <v>2</v>
      </c>
      <c r="C17" s="32"/>
      <c r="D17" s="2">
        <v>3</v>
      </c>
    </row>
    <row r="18" spans="1:4" ht="15.75" x14ac:dyDescent="0.25">
      <c r="B18" s="31" t="s">
        <v>3</v>
      </c>
      <c r="C18" s="32"/>
      <c r="D18" s="3">
        <v>1.0800000000000001E-2</v>
      </c>
    </row>
    <row r="19" spans="1:4" ht="15.75" x14ac:dyDescent="0.25">
      <c r="B19" s="33" t="s">
        <v>0</v>
      </c>
      <c r="C19" s="34"/>
      <c r="D19" s="4">
        <f>FV(D18,D17*12,D16*(-1))</f>
        <v>13114.932554316461</v>
      </c>
    </row>
    <row r="20" spans="1:4" ht="16.5" thickBot="1" x14ac:dyDescent="0.3">
      <c r="B20" s="35" t="s">
        <v>4</v>
      </c>
      <c r="C20" s="36"/>
      <c r="D20" s="5">
        <f>patrimonio*rendimento_carteira</f>
        <v>116.72289973341651</v>
      </c>
    </row>
    <row r="21" spans="1:4" ht="21.75" customHeight="1" thickBot="1" x14ac:dyDescent="0.3"/>
    <row r="22" spans="1:4" ht="37.5" customHeight="1" x14ac:dyDescent="0.25">
      <c r="B22" s="18" t="s">
        <v>11</v>
      </c>
      <c r="C22" s="19"/>
      <c r="D22" s="20" t="s">
        <v>12</v>
      </c>
    </row>
    <row r="23" spans="1:4" ht="15.75" x14ac:dyDescent="0.25">
      <c r="A23" s="6">
        <v>2</v>
      </c>
      <c r="B23" s="21" t="s">
        <v>6</v>
      </c>
      <c r="C23" s="24">
        <f>FV($D$18,$A23*12,$D$16*(-1))</f>
        <v>8169.259098174477</v>
      </c>
      <c r="D23" s="37">
        <f>C23*$D$12</f>
        <v>72.706405973752851</v>
      </c>
    </row>
    <row r="24" spans="1:4" ht="15.75" x14ac:dyDescent="0.25">
      <c r="A24" s="6">
        <v>5</v>
      </c>
      <c r="B24" s="22" t="s">
        <v>7</v>
      </c>
      <c r="C24" s="25">
        <f>FV($D$18,$A24*12,$D$16*(-1))</f>
        <v>25141.205807777529</v>
      </c>
      <c r="D24" s="37">
        <f>C24*$D$12</f>
        <v>223.75673168922</v>
      </c>
    </row>
    <row r="25" spans="1:4" ht="15.75" x14ac:dyDescent="0.25">
      <c r="A25" s="6">
        <v>10</v>
      </c>
      <c r="B25" s="22" t="s">
        <v>8</v>
      </c>
      <c r="C25" s="25">
        <f>FV($D$18,$A25*12,$D$16*(-1))</f>
        <v>73037.299876440025</v>
      </c>
      <c r="D25" s="37">
        <f>C25*$D$12</f>
        <v>650.0319689003162</v>
      </c>
    </row>
    <row r="26" spans="1:4" ht="15.75" x14ac:dyDescent="0.25">
      <c r="A26" s="6">
        <v>20</v>
      </c>
      <c r="B26" s="22" t="s">
        <v>9</v>
      </c>
      <c r="C26" s="25">
        <f>FV($D$18,$A26*12,$D$16*(-1))</f>
        <v>338114.697989557</v>
      </c>
      <c r="D26" s="37">
        <f>C26*$D$12</f>
        <v>3009.2208121070571</v>
      </c>
    </row>
    <row r="27" spans="1:4" ht="16.5" thickBot="1" x14ac:dyDescent="0.3">
      <c r="A27" s="6">
        <v>30</v>
      </c>
      <c r="B27" s="23" t="s">
        <v>10</v>
      </c>
      <c r="C27" s="26">
        <f>FV($D$18,$A27*12,$D$16*(-1))</f>
        <v>1300171.4430950254</v>
      </c>
      <c r="D27" s="38">
        <f>C27*$D$12</f>
        <v>11571.525843545725</v>
      </c>
    </row>
    <row r="29" spans="1:4" ht="15.75" thickBot="1" x14ac:dyDescent="0.3"/>
    <row r="30" spans="1:4" ht="15.75" x14ac:dyDescent="0.25">
      <c r="B30" s="61" t="s">
        <v>17</v>
      </c>
      <c r="C30" s="62" t="s">
        <v>19</v>
      </c>
      <c r="D30" s="63"/>
    </row>
    <row r="31" spans="1:4" ht="15.75" thickBot="1" x14ac:dyDescent="0.3">
      <c r="B31" s="64" t="s">
        <v>21</v>
      </c>
      <c r="C31" s="65">
        <f>aporte</f>
        <v>300</v>
      </c>
      <c r="D31" s="66"/>
    </row>
    <row r="32" spans="1:4" ht="15.75" thickBot="1" x14ac:dyDescent="0.3"/>
    <row r="33" spans="2:4" ht="18.75" x14ac:dyDescent="0.3">
      <c r="B33" s="46" t="s">
        <v>22</v>
      </c>
      <c r="C33" s="47" t="s">
        <v>23</v>
      </c>
      <c r="D33" s="48" t="s">
        <v>24</v>
      </c>
    </row>
    <row r="34" spans="2:4" x14ac:dyDescent="0.25">
      <c r="B34" s="52" t="s">
        <v>25</v>
      </c>
      <c r="C34" s="53">
        <f>VLOOKUP($C$30&amp;"-"&amp;B34,Planilha2!$A:$D,4,FALSE)</f>
        <v>0.32</v>
      </c>
      <c r="D34" s="54">
        <f>C34*$C$31</f>
        <v>96</v>
      </c>
    </row>
    <row r="35" spans="2:4" x14ac:dyDescent="0.25">
      <c r="B35" s="55" t="s">
        <v>26</v>
      </c>
      <c r="C35" s="56">
        <f>VLOOKUP($C$30&amp;"-"&amp;B35,Planilha2!$A:$D,4,FALSE)</f>
        <v>0.4</v>
      </c>
      <c r="D35" s="57">
        <f>C35*$C$31</f>
        <v>120</v>
      </c>
    </row>
    <row r="36" spans="2:4" x14ac:dyDescent="0.25">
      <c r="B36" s="55" t="s">
        <v>27</v>
      </c>
      <c r="C36" s="56">
        <f>VLOOKUP($C$30&amp;"-"&amp;B36,Planilha2!$A:$D,4,FALSE)</f>
        <v>0.08</v>
      </c>
      <c r="D36" s="57">
        <f>C36*$C$31</f>
        <v>24</v>
      </c>
    </row>
    <row r="37" spans="2:4" x14ac:dyDescent="0.25">
      <c r="B37" s="55" t="s">
        <v>28</v>
      </c>
      <c r="C37" s="56">
        <f>VLOOKUP($C$30&amp;"-"&amp;B37,Planilha2!$A:$D,4,FALSE)</f>
        <v>0.1</v>
      </c>
      <c r="D37" s="57">
        <f>C37*$C$31</f>
        <v>30</v>
      </c>
    </row>
    <row r="38" spans="2:4" x14ac:dyDescent="0.25">
      <c r="B38" s="55" t="s">
        <v>29</v>
      </c>
      <c r="C38" s="56">
        <f>VLOOKUP($C$30&amp;"-"&amp;B38,Planilha2!$A:$D,4,FALSE)</f>
        <v>0.1</v>
      </c>
      <c r="D38" s="57">
        <f>C38*$C$31</f>
        <v>30</v>
      </c>
    </row>
    <row r="39" spans="2:4" x14ac:dyDescent="0.25">
      <c r="B39" s="58" t="s">
        <v>30</v>
      </c>
      <c r="C39" s="59">
        <f>VLOOKUP($C$30&amp;"-"&amp;B39,Planilha2!$A:$D,4,FALSE)</f>
        <v>0.1</v>
      </c>
      <c r="D39" s="60">
        <f>C39*$C$31</f>
        <v>30</v>
      </c>
    </row>
    <row r="40" spans="2:4" ht="16.5" thickBot="1" x14ac:dyDescent="0.3">
      <c r="B40" s="49"/>
      <c r="C40" s="50"/>
      <c r="D40" s="51">
        <f>SUM(D34:D39)</f>
        <v>330</v>
      </c>
    </row>
  </sheetData>
  <mergeCells count="13">
    <mergeCell ref="C30:D30"/>
    <mergeCell ref="C31:D31"/>
    <mergeCell ref="B10:C10"/>
    <mergeCell ref="B11:C11"/>
    <mergeCell ref="B13:C13"/>
    <mergeCell ref="B12:C12"/>
    <mergeCell ref="B15:C15"/>
    <mergeCell ref="B22:C22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BCBFFEEF-879D-4083-BE80-211E806DC86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D5CA-50BD-45D0-B0A6-CDC9005CAFB5}">
  <dimension ref="A1:G21"/>
  <sheetViews>
    <sheetView workbookViewId="0">
      <selection activeCell="D8" sqref="D8"/>
    </sheetView>
  </sheetViews>
  <sheetFormatPr defaultRowHeight="15" x14ac:dyDescent="0.25"/>
  <cols>
    <col min="1" max="1" width="27.42578125" customWidth="1"/>
    <col min="2" max="2" width="26.5703125" customWidth="1"/>
    <col min="3" max="3" width="18.140625" customWidth="1"/>
    <col min="6" max="6" width="16" bestFit="1" customWidth="1"/>
  </cols>
  <sheetData>
    <row r="1" spans="1:7" x14ac:dyDescent="0.25">
      <c r="A1" s="44" t="s">
        <v>33</v>
      </c>
      <c r="B1" s="44" t="s">
        <v>32</v>
      </c>
      <c r="C1" s="44" t="s">
        <v>31</v>
      </c>
      <c r="D1" s="45" t="s">
        <v>34</v>
      </c>
    </row>
    <row r="2" spans="1:7" x14ac:dyDescent="0.25">
      <c r="A2" s="40" t="str">
        <f>B2&amp;"-"&amp;C2</f>
        <v>Agressivo-Papel</v>
      </c>
      <c r="B2" s="40" t="s">
        <v>18</v>
      </c>
      <c r="C2" s="41" t="s">
        <v>25</v>
      </c>
      <c r="D2" s="42">
        <v>0.5</v>
      </c>
      <c r="F2" t="s">
        <v>35</v>
      </c>
      <c r="G2" s="39">
        <f>VLOOKUP(F2,$A:$D,4,FALSE)</f>
        <v>0.4</v>
      </c>
    </row>
    <row r="3" spans="1:7" x14ac:dyDescent="0.25">
      <c r="A3" s="40" t="str">
        <f t="shared" ref="A3:A7" si="0">B3&amp;"-"&amp;C3</f>
        <v>Agressivo-Tijolo</v>
      </c>
      <c r="B3" s="40" t="s">
        <v>18</v>
      </c>
      <c r="C3" s="41" t="s">
        <v>26</v>
      </c>
      <c r="D3" s="43">
        <v>0.1</v>
      </c>
    </row>
    <row r="4" spans="1:7" x14ac:dyDescent="0.25">
      <c r="A4" s="40" t="str">
        <f t="shared" si="0"/>
        <v>Agressivo-Híbridos</v>
      </c>
      <c r="B4" s="40" t="s">
        <v>18</v>
      </c>
      <c r="C4" s="41" t="s">
        <v>27</v>
      </c>
      <c r="D4" s="43">
        <v>0.05</v>
      </c>
    </row>
    <row r="5" spans="1:7" x14ac:dyDescent="0.25">
      <c r="A5" s="40" t="str">
        <f t="shared" si="0"/>
        <v>Agressivo-FOFs</v>
      </c>
      <c r="B5" s="40" t="s">
        <v>18</v>
      </c>
      <c r="C5" s="41" t="s">
        <v>28</v>
      </c>
      <c r="D5" s="43">
        <v>0.05</v>
      </c>
    </row>
    <row r="6" spans="1:7" x14ac:dyDescent="0.25">
      <c r="A6" s="40" t="str">
        <f t="shared" si="0"/>
        <v>Agressivo-Desenvolvimento</v>
      </c>
      <c r="B6" s="40" t="s">
        <v>18</v>
      </c>
      <c r="C6" s="41" t="s">
        <v>29</v>
      </c>
      <c r="D6" s="43">
        <v>0.2</v>
      </c>
    </row>
    <row r="7" spans="1:7" x14ac:dyDescent="0.25">
      <c r="A7" s="40" t="str">
        <f t="shared" si="0"/>
        <v>Agressivo-Hotelarias</v>
      </c>
      <c r="B7" s="40" t="s">
        <v>18</v>
      </c>
      <c r="C7" s="41" t="s">
        <v>30</v>
      </c>
      <c r="D7" s="43">
        <v>0.1</v>
      </c>
    </row>
    <row r="9" spans="1:7" x14ac:dyDescent="0.25">
      <c r="A9" s="40" t="str">
        <f>B9&amp;"-"&amp;C9</f>
        <v>Moderado-Papel</v>
      </c>
      <c r="B9" s="40" t="s">
        <v>19</v>
      </c>
      <c r="C9" s="41" t="s">
        <v>25</v>
      </c>
      <c r="D9" s="42">
        <v>0.32</v>
      </c>
    </row>
    <row r="10" spans="1:7" x14ac:dyDescent="0.25">
      <c r="A10" s="40" t="str">
        <f t="shared" ref="A10:A14" si="1">B10&amp;"-"&amp;C10</f>
        <v>Moderado-Tijolo</v>
      </c>
      <c r="B10" s="40" t="s">
        <v>19</v>
      </c>
      <c r="C10" s="41" t="s">
        <v>26</v>
      </c>
      <c r="D10" s="42">
        <v>0.4</v>
      </c>
    </row>
    <row r="11" spans="1:7" x14ac:dyDescent="0.25">
      <c r="A11" s="40" t="str">
        <f t="shared" si="1"/>
        <v>Moderado-Híbridos</v>
      </c>
      <c r="B11" s="40" t="s">
        <v>19</v>
      </c>
      <c r="C11" s="41" t="s">
        <v>27</v>
      </c>
      <c r="D11" s="42">
        <v>0.08</v>
      </c>
    </row>
    <row r="12" spans="1:7" x14ac:dyDescent="0.25">
      <c r="A12" s="40" t="str">
        <f t="shared" si="1"/>
        <v>Moderado-FOFs</v>
      </c>
      <c r="B12" s="40" t="s">
        <v>19</v>
      </c>
      <c r="C12" s="41" t="s">
        <v>28</v>
      </c>
      <c r="D12" s="42">
        <v>0.1</v>
      </c>
    </row>
    <row r="13" spans="1:7" x14ac:dyDescent="0.25">
      <c r="A13" s="40" t="str">
        <f t="shared" si="1"/>
        <v>Moderado-Desenvolvimento</v>
      </c>
      <c r="B13" s="40" t="s">
        <v>19</v>
      </c>
      <c r="C13" s="41" t="s">
        <v>29</v>
      </c>
      <c r="D13" s="42">
        <v>0.1</v>
      </c>
    </row>
    <row r="14" spans="1:7" x14ac:dyDescent="0.25">
      <c r="A14" s="40" t="str">
        <f t="shared" si="1"/>
        <v>Moderado-Hotelarias</v>
      </c>
      <c r="B14" s="40" t="s">
        <v>19</v>
      </c>
      <c r="C14" s="41" t="s">
        <v>30</v>
      </c>
      <c r="D14" s="42">
        <v>0.1</v>
      </c>
    </row>
    <row r="16" spans="1:7" x14ac:dyDescent="0.25">
      <c r="A16" s="40" t="str">
        <f>B16&amp;"-"&amp;C16</f>
        <v>Conservador-Papel</v>
      </c>
      <c r="B16" s="40" t="s">
        <v>20</v>
      </c>
      <c r="C16" s="41" t="s">
        <v>25</v>
      </c>
      <c r="D16" s="42">
        <v>0.3</v>
      </c>
    </row>
    <row r="17" spans="1:4" x14ac:dyDescent="0.25">
      <c r="A17" s="40" t="str">
        <f t="shared" ref="A17:A21" si="2">B17&amp;"-"&amp;C17</f>
        <v>Conservador-Tijolo</v>
      </c>
      <c r="B17" s="40" t="s">
        <v>20</v>
      </c>
      <c r="C17" s="41" t="s">
        <v>26</v>
      </c>
      <c r="D17" s="42">
        <v>0.5</v>
      </c>
    </row>
    <row r="18" spans="1:4" x14ac:dyDescent="0.25">
      <c r="A18" s="40" t="str">
        <f t="shared" si="2"/>
        <v>Conservador-Híbridos</v>
      </c>
      <c r="B18" s="40" t="s">
        <v>20</v>
      </c>
      <c r="C18" s="41" t="s">
        <v>27</v>
      </c>
      <c r="D18" s="42">
        <v>0.1</v>
      </c>
    </row>
    <row r="19" spans="1:4" x14ac:dyDescent="0.25">
      <c r="A19" s="40" t="str">
        <f t="shared" si="2"/>
        <v>Conservador-FOFs</v>
      </c>
      <c r="B19" s="40" t="s">
        <v>20</v>
      </c>
      <c r="C19" s="41" t="s">
        <v>28</v>
      </c>
      <c r="D19" s="42">
        <v>0.1</v>
      </c>
    </row>
    <row r="20" spans="1:4" x14ac:dyDescent="0.25">
      <c r="A20" s="40" t="str">
        <f t="shared" si="2"/>
        <v>Conservador-Desenvolvimento</v>
      </c>
      <c r="B20" s="40" t="s">
        <v>20</v>
      </c>
      <c r="C20" s="41" t="s">
        <v>29</v>
      </c>
      <c r="D20" s="42">
        <v>0</v>
      </c>
    </row>
    <row r="21" spans="1:4" x14ac:dyDescent="0.25">
      <c r="A21" s="40" t="str">
        <f t="shared" si="2"/>
        <v>Conservador-Hotelarias</v>
      </c>
      <c r="B21" s="40" t="s">
        <v>20</v>
      </c>
      <c r="C21" s="41" t="s">
        <v>30</v>
      </c>
      <c r="D21" s="4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qntd_anos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2025-12-24T13:00:35Z</dcterms:created>
  <dcterms:modified xsi:type="dcterms:W3CDTF">2025-12-25T16:42:07Z</dcterms:modified>
</cp:coreProperties>
</file>